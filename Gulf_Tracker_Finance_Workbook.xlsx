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EA Buyout Model" sheetId="2" state="visible" r:id="rId4"/>
    <sheet name="PIF 13F Portfolio" sheetId="3" state="visible" r:id="rId5"/>
    <sheet name="Saudi Budget &amp; Oil"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<sst xmlns="http://schemas.openxmlformats.org/spreadsheetml/2006/main" count="201" uniqueCount="170">
  <si>
    <t xml:space="preserve">Gulf Statecraft Tracker: Finance Workbook</t>
  </si>
  <si>
    <t xml:space="preserve">Built by Xavier Davis to analyze the money behind U.S.-Gulf deals. U.S. dollars unless noted.</t>
  </si>
  <si>
    <t xml:space="preserve">How to use</t>
  </si>
  <si>
    <t xml:space="preserve">Blue numbers are inputs you can change. Yellow cells are the key assumptions. Black numbers are formulas and update automatically. Green numbers pull from another cell on the same tab.</t>
  </si>
  <si>
    <t xml:space="preserve">EA Buyout Model</t>
  </si>
  <si>
    <t xml:space="preserve">A simplified leveraged buyout (LBO) model of the ~$55B take-private of Electronic Arts by PIF, Silver Lake and Affinity Partners (closed Aug 4, 2026). Estimates the owners' return and the sale price needed to hit a 15% return.</t>
  </si>
  <si>
    <t xml:space="preserve">PIF 13F Portfolio</t>
  </si>
  <si>
    <t xml:space="preserve">PIF's U.S.-listed stock holdings as of June 30, 2026, taken directly from its SEC Form 13F, with return math on Uber and Lucid.</t>
  </si>
  <si>
    <t xml:space="preserve">Saudi Budget &amp; Oil</t>
  </si>
  <si>
    <t xml:space="preserve">How oil prices and spending shape the Saudi budget that funds PIF and backs the investment pledges.</t>
  </si>
  <si>
    <t xml:space="preserve">Sources</t>
  </si>
  <si>
    <t xml:space="preserve">Only official filings (SEC, company releases), government data (Saudi Ministry of Finance, U.S. EIA, IMF) and major outlets (Bloomberg, Reuters, AP, CNBC). Each input cites its source beside it.</t>
  </si>
  <si>
    <t xml:space="preserve">Caveat</t>
  </si>
  <si>
    <t xml:space="preserve">A learning model built from public information. The EA debt terms were not disclosed, so the interest rate, growth, cash conversion and exit multiple are assumptions, labeled as such. Not investment advice.</t>
  </si>
  <si>
    <t xml:space="preserve">Electronic Arts take-private: simplified LBO returns model</t>
  </si>
  <si>
    <t xml:space="preserve">$ billions unless noted. Hold period: 5 years (FY2027 to FY2031; EA's fiscal year ends March 31).</t>
  </si>
  <si>
    <t xml:space="preserve">Deal and assumptions</t>
  </si>
  <si>
    <t xml:space="preserve">Value</t>
  </si>
  <si>
    <t xml:space="preserve">Source / note</t>
  </si>
  <si>
    <t xml:space="preserve">Enterprise value paid ($bn)</t>
  </si>
  <si>
    <t xml:space="preserve">EA / Silver Lake announcement, Sep 29, 2025: ~$55B EV at $210/share, a 25% premium</t>
  </si>
  <si>
    <t xml:space="preserve">Debt funded at close ($bn)</t>
  </si>
  <si>
    <t xml:space="preserve">Same release: $20B committed by JPMorgan, $18B expected to be funded at close</t>
  </si>
  <si>
    <t xml:space="preserve">Owners' equity ($bn)</t>
  </si>
  <si>
    <t xml:space="preserve">Same release: ~$36B from PIF, Silver Lake and Affinity, incl. PIF rolling over its 9.9% stake</t>
  </si>
  <si>
    <t xml:space="preserve">EA adjusted EBITDA, FY2026 ($bn)</t>
  </si>
  <si>
    <t xml:space="preserve">Formula: operating income + D&amp;A + stock-based pay (rows 24-26)</t>
  </si>
  <si>
    <t xml:space="preserve">Annual EBITDA growth</t>
  </si>
  <si>
    <t xml:space="preserve">Assumption. FY2026 net bookings grew 9% and net revenue 1% (EA SEC filing)</t>
  </si>
  <si>
    <t xml:space="preserve">Run-rate cost savings ($bn)</t>
  </si>
  <si>
    <t xml:space="preserve">Bloomberg, Mar 23, 2026: EA pitched ~$700M of annual cost savings to debt investors</t>
  </si>
  <si>
    <t xml:space="preserve">Include cost savings? (1 = yes, 0 = no)</t>
  </si>
  <si>
    <t xml:space="preserve">Assumption. Savings phase in half in year 1</t>
  </si>
  <si>
    <t xml:space="preserve">Interest rate on debt</t>
  </si>
  <si>
    <t xml:space="preserve">Assumption: terms not disclosed; ~6x leverage implies sub-investment-grade pricing</t>
  </si>
  <si>
    <t xml:space="preserve">Tax rate</t>
  </si>
  <si>
    <t xml:space="preserve">U.S. federal corporate rate, used for the interest tax shield</t>
  </si>
  <si>
    <t xml:space="preserve">Cash conversion (EBITDA to cash before interest)</t>
  </si>
  <si>
    <t xml:space="preserve">Assumption covering capex, taxes and working capital</t>
  </si>
  <si>
    <t xml:space="preserve">Exit multiple (EV / EBITDA)</t>
  </si>
  <si>
    <t xml:space="preserve">Assumption: below the multiple paid at entry</t>
  </si>
  <si>
    <t xml:space="preserve">Target IRR (typical private equity hurdle)</t>
  </si>
  <si>
    <t xml:space="preserve">Assumption</t>
  </si>
  <si>
    <t xml:space="preserve">EBITDA used for pricing ($bn)</t>
  </si>
  <si>
    <t xml:space="preserve">Formula: FY2026 EBITDA plus run-rate savings if included</t>
  </si>
  <si>
    <t xml:space="preserve">Entry multiple (EV / EBITDA)</t>
  </si>
  <si>
    <t xml:space="preserve">Formula</t>
  </si>
  <si>
    <t xml:space="preserve">Entry leverage (Debt / EBITDA)</t>
  </si>
  <si>
    <t xml:space="preserve">EA FY2026 reported figures ($bn)</t>
  </si>
  <si>
    <t xml:space="preserve">Source</t>
  </si>
  <si>
    <t xml:space="preserve">Net revenue</t>
  </si>
  <si>
    <t xml:space="preserve">EA Q4 and FY26 results press release, SEC EDGAR (May 2026)</t>
  </si>
  <si>
    <t xml:space="preserve">Free cash flow</t>
  </si>
  <si>
    <t xml:space="preserve">Operating income (GAAP)</t>
  </si>
  <si>
    <t xml:space="preserve">Depreciation &amp; amortization</t>
  </si>
  <si>
    <t xml:space="preserve">Stock-based compensation</t>
  </si>
  <si>
    <t xml:space="preserve">Projection ($bn)</t>
  </si>
  <si>
    <t xml:space="preserve">FY2027</t>
  </si>
  <si>
    <t xml:space="preserve">FY2028</t>
  </si>
  <si>
    <t xml:space="preserve">FY2029</t>
  </si>
  <si>
    <t xml:space="preserve">FY2030</t>
  </si>
  <si>
    <t xml:space="preserve">FY2031</t>
  </si>
  <si>
    <t xml:space="preserve">Base EBITDA</t>
  </si>
  <si>
    <t xml:space="preserve">Cost savings</t>
  </si>
  <si>
    <t xml:space="preserve">Half in year 1</t>
  </si>
  <si>
    <t xml:space="preserve">EBITDA</t>
  </si>
  <si>
    <t xml:space="preserve">Debt at start of year</t>
  </si>
  <si>
    <t xml:space="preserve">Interest expense</t>
  </si>
  <si>
    <t xml:space="preserve">Cash before interest</t>
  </si>
  <si>
    <t xml:space="preserve">Cash used to repay debt</t>
  </si>
  <si>
    <t xml:space="preserve">After-tax interest first</t>
  </si>
  <si>
    <t xml:space="preserve">Debt at end of year</t>
  </si>
  <si>
    <t xml:space="preserve">Returns at exit (end of FY2031)</t>
  </si>
  <si>
    <t xml:space="preserve">How it works</t>
  </si>
  <si>
    <t xml:space="preserve">Exit EBITDA ($bn)</t>
  </si>
  <si>
    <t xml:space="preserve">Final-year EBITDA</t>
  </si>
  <si>
    <t xml:space="preserve">Exit enterprise value ($bn)</t>
  </si>
  <si>
    <t xml:space="preserve">EBITDA x exit multiple</t>
  </si>
  <si>
    <t xml:space="preserve">Less: debt still owed ($bn)</t>
  </si>
  <si>
    <t xml:space="preserve">Lenders are repaid before owners</t>
  </si>
  <si>
    <t xml:space="preserve">Equity value at exit ($bn)</t>
  </si>
  <si>
    <t xml:space="preserve">What the owners hold</t>
  </si>
  <si>
    <t xml:space="preserve">MOIC (multiple on invested capital)</t>
  </si>
  <si>
    <t xml:space="preserve">Equity out / equity in</t>
  </si>
  <si>
    <t xml:space="preserve">IRR (annual return)</t>
  </si>
  <si>
    <t xml:space="preserve">MOIC^(1/5 years) - 1, no dividends before exit</t>
  </si>
  <si>
    <t xml:space="preserve">Exit multiple needed to hit target IRR</t>
  </si>
  <si>
    <t xml:space="preserve">Solves for the multiple that makes IRR = target</t>
  </si>
  <si>
    <t xml:space="preserve">Gap vs. entry multiple</t>
  </si>
  <si>
    <t xml:space="preserve">Positive = must sell for more per $ of EBITDA than it paid</t>
  </si>
  <si>
    <t xml:space="preserve">Sensitivity: exit multiple</t>
  </si>
  <si>
    <t xml:space="preserve">IRR</t>
  </si>
  <si>
    <t xml:space="preserve">MOIC</t>
  </si>
  <si>
    <t xml:space="preserve">Read: at a 15% hurdle, a financial buyer would need to sell EA well above the multiple it paid. That gap is one reason to read PIF's bid as strategic, not purely financial.</t>
  </si>
  <si>
    <t xml:space="preserve">PIF U.S. stock holdings (SEC Form 13F), as of June 30, 2026</t>
  </si>
  <si>
    <t xml:space="preserve">$ billions. Filed Aug 14, 2026 (SEC accession 0001011438-26-000537). Only U.S.-listed stocks appear on a 13F.</t>
  </si>
  <si>
    <t xml:space="preserve">Holding</t>
  </si>
  <si>
    <t xml:space="preserve">Shares (millions)</t>
  </si>
  <si>
    <t xml:space="preserve">Value ($bn)</t>
  </si>
  <si>
    <t xml:space="preserve">Implied price per share ($)</t>
  </si>
  <si>
    <t xml:space="preserve">% of 13F portfolio</t>
  </si>
  <si>
    <t xml:space="preserve">SpaceX</t>
  </si>
  <si>
    <t xml:space="preserve">Uber</t>
  </si>
  <si>
    <t xml:space="preserve">Electronic Arts (pre-buyout stake)</t>
  </si>
  <si>
    <t xml:space="preserve">Lucid Group</t>
  </si>
  <si>
    <t xml:space="preserve">Claritev</t>
  </si>
  <si>
    <t xml:space="preserve">Total</t>
  </si>
  <si>
    <t xml:space="preserve">Filing total: $37,908,748,002</t>
  </si>
  <si>
    <t xml:space="preserve">Largest single position share</t>
  </si>
  <si>
    <t xml:space="preserve">Concentration risk</t>
  </si>
  <si>
    <t xml:space="preserve">Also: Take-Two stake held by PIF's Saudi Electronic Games Holding ($bn)</t>
  </si>
  <si>
    <t xml:space="preserve">Separate Form 13F, SEC accession 0001213900-26-089396</t>
  </si>
  <si>
    <t xml:space="preserve">Return math</t>
  </si>
  <si>
    <t xml:space="preserve">Uber: amount invested, June 2016 ($bn)</t>
  </si>
  <si>
    <t xml:space="preserve">PIF press release, June 2016</t>
  </si>
  <si>
    <t xml:space="preserve">Uber: value, June 30, 2026 ($bn)</t>
  </si>
  <si>
    <t xml:space="preserve">Years held</t>
  </si>
  <si>
    <t xml:space="preserve">Uber MOIC</t>
  </si>
  <si>
    <t xml:space="preserve">Uber annualized return (CAGR)</t>
  </si>
  <si>
    <t xml:space="preserve">Compare with a broad U.S. stock index over the same years</t>
  </si>
  <si>
    <t xml:space="preserve">Lucid: stake value, Dec 31, 2024 ($bn)</t>
  </si>
  <si>
    <t xml:space="preserve">PIF Form 13F for Q4 2024, SEC accession 0001011438-25-000153</t>
  </si>
  <si>
    <t xml:space="preserve">Lucid: stake value, June 30, 2026 ($bn)</t>
  </si>
  <si>
    <t xml:space="preserve">Lucid: change in market value</t>
  </si>
  <si>
    <t xml:space="preserve">Ignores new money PIF added between filings</t>
  </si>
  <si>
    <t xml:space="preserve">Saudi budget, oil and PIF's funding</t>
  </si>
  <si>
    <t xml:space="preserve">SAR billions unless noted. Riyal pegged at 3.75 per U.S. dollar.</t>
  </si>
  <si>
    <t xml:space="preserve">SAR per USD (peg)</t>
  </si>
  <si>
    <t xml:space="preserve">H1 2026 actual</t>
  </si>
  <si>
    <t xml:space="preserve">SAR bn</t>
  </si>
  <si>
    <t xml:space="preserve">USD bn</t>
  </si>
  <si>
    <t xml:space="preserve">Oil revenue</t>
  </si>
  <si>
    <t xml:space="preserve">Saudi Ministry of Finance, Q2 2026 Quarterly Budget Performance Report</t>
  </si>
  <si>
    <t xml:space="preserve">Non-oil revenue</t>
  </si>
  <si>
    <t xml:space="preserve">Total revenue</t>
  </si>
  <si>
    <t xml:space="preserve">Total expenditure</t>
  </si>
  <si>
    <t xml:space="preserve">Deficit</t>
  </si>
  <si>
    <t xml:space="preserve">Oil share of revenue</t>
  </si>
  <si>
    <t xml:space="preserve">H1 2025 expenditure (SAR bn)</t>
  </si>
  <si>
    <t xml:space="preserve">Same report</t>
  </si>
  <si>
    <t xml:space="preserve">Spending growth, H1 2026 vs H1 2025</t>
  </si>
  <si>
    <t xml:space="preserve">Full-year 2026 budget</t>
  </si>
  <si>
    <t xml:space="preserve">Budgeted revenue</t>
  </si>
  <si>
    <t xml:space="preserve">Saudi Ministry of Finance, 2026 Budget Statement</t>
  </si>
  <si>
    <t xml:space="preserve">Budgeted expenditure</t>
  </si>
  <si>
    <t xml:space="preserve">Budgeted deficit</t>
  </si>
  <si>
    <t xml:space="preserve">H1 deficit as % of full-year budgeted deficit</t>
  </si>
  <si>
    <t xml:space="preserve">Half a year used almost all of the full-year deficit plan</t>
  </si>
  <si>
    <t xml:space="preserve">Brent crude ($/barrel)</t>
  </si>
  <si>
    <t xml:space="preserve">Price</t>
  </si>
  <si>
    <t xml:space="preserve">Type</t>
  </si>
  <si>
    <t xml:space="preserve">2025 average</t>
  </si>
  <si>
    <t xml:space="preserve">Actual</t>
  </si>
  <si>
    <t xml:space="preserve">U.S. EIA Short-Term Energy Outlook, Sep 2026</t>
  </si>
  <si>
    <t xml:space="preserve">Q1 2026 average</t>
  </si>
  <si>
    <t xml:space="preserve">Q2 2026 average</t>
  </si>
  <si>
    <t xml:space="preserve">July 2026 average</t>
  </si>
  <si>
    <t xml:space="preserve">August 2026 average</t>
  </si>
  <si>
    <t xml:space="preserve">Q4 2026</t>
  </si>
  <si>
    <t xml:space="preserve">EIA forecast</t>
  </si>
  <si>
    <t xml:space="preserve">2027 average</t>
  </si>
  <si>
    <t xml:space="preserve">Fiscal break-even, 2025 (IMF estimate)</t>
  </si>
  <si>
    <t xml:space="preserve">IMF Regional Economic Outlook, via St. Louis Fed ALFRED</t>
  </si>
  <si>
    <t xml:space="preserve">Break-even incl. PIF domestic spending</t>
  </si>
  <si>
    <t xml:space="preserve">Bloomberg Economics estimate, Bloomberg, Oct 21, 2025</t>
  </si>
  <si>
    <t xml:space="preserve">Q2 2026 cushion vs. IMF break-even</t>
  </si>
  <si>
    <t xml:space="preserve">Positive = above break-even</t>
  </si>
  <si>
    <t xml:space="preserve">2027 forecast cushion vs. IMF break-even</t>
  </si>
  <si>
    <t xml:space="preserve">Negative = deficit pressure returns</t>
  </si>
  <si>
    <t xml:space="preserve">Takeaway: the war pushed prices up in Q2, yet the H1 deficit nearly used up the full-year plan as spending rose 15%. With the EIA expecting ~$74 oil in 2027, pressure on PIF and on the pledges is likely to grow.</t>
  </si>
</sst>
</file>

<file path=xl/styles.xml><?xml version="1.0" encoding="utf-8"?>
<styleSheet xmlns="http://schemas.openxmlformats.org/spreadsheetml/2006/main">
  <numFmts count="12">
    <numFmt numFmtId="164" formatCode="General"/>
    <numFmt numFmtId="165" formatCode="\$#,##0.0;&quot;($&quot;#,##0.0\);\-"/>
    <numFmt numFmtId="166" formatCode="\$#,##0.00;&quot;($&quot;#,##0.00\);\-"/>
    <numFmt numFmtId="167" formatCode="0.0%;\(0.0%\);\-"/>
    <numFmt numFmtId="168" formatCode="0"/>
    <numFmt numFmtId="169" formatCode="0.0\x"/>
    <numFmt numFmtId="170" formatCode="#,##0.0"/>
    <numFmt numFmtId="171" formatCode="\$#,##0.00"/>
    <numFmt numFmtId="172" formatCode="0.00"/>
    <numFmt numFmtId="173" formatCode="#,##0.0;\(#,##0.0\);\-"/>
    <numFmt numFmtId="174" formatCode="\$#,##0"/>
    <numFmt numFmtId="175" formatCode="\$#,##0.00;&quot;($&quot;#,##0.00\)"/>
  </numFmts>
  <fonts count="11">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i val="true"/>
      <sz val="10"/>
      <color rgb="FF555555"/>
      <name val="Arial"/>
      <family val="0"/>
      <charset val="1"/>
    </font>
    <font>
      <b val="true"/>
      <sz val="10"/>
      <color rgb="FF000000"/>
      <name val="Arial"/>
      <family val="0"/>
      <charset val="1"/>
    </font>
    <font>
      <sz val="10"/>
      <color rgb="FF000000"/>
      <name val="Arial"/>
      <family val="0"/>
      <charset val="1"/>
    </font>
    <font>
      <sz val="10"/>
      <color rgb="FF0000FF"/>
      <name val="Arial"/>
      <family val="0"/>
      <charset val="1"/>
    </font>
    <font>
      <i val="true"/>
      <sz val="9"/>
      <color rgb="FF555555"/>
      <name val="Arial"/>
      <family val="0"/>
      <charset val="1"/>
    </font>
    <font>
      <sz val="10"/>
      <color rgb="FF008000"/>
      <name val="Arial"/>
      <family val="0"/>
      <charset val="1"/>
    </font>
  </fonts>
  <fills count="4">
    <fill>
      <patternFill patternType="none"/>
    </fill>
    <fill>
      <patternFill patternType="gray125"/>
    </fill>
    <fill>
      <patternFill patternType="solid">
        <fgColor rgb="FFDCE8E4"/>
        <bgColor rgb="FFCCFFFF"/>
      </patternFill>
    </fill>
    <fill>
      <patternFill patternType="solid">
        <fgColor rgb="FFFFFF00"/>
        <bgColor rgb="FFFFFF00"/>
      </patternFill>
    </fill>
  </fills>
  <borders count="2">
    <border diagonalUp="false" diagonalDown="false">
      <left/>
      <right/>
      <top/>
      <bottom/>
      <diagonal/>
    </border>
    <border diagonalUp="false" diagonalDown="false">
      <left/>
      <right/>
      <top/>
      <bottom style="thin">
        <color rgb="FF999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68" fontId="8" fillId="3"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9" fontId="8" fillId="3"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72" fontId="8" fillId="0" borderId="0" xfId="0" applyFont="true" applyBorder="false" applyAlignment="false" applyProtection="false">
      <alignment horizontal="general" vertical="bottom" textRotation="0" wrapText="false" indent="0" shrinkToFit="false"/>
      <protection locked="true" hidden="false"/>
    </xf>
    <xf numFmtId="173" fontId="8"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4" fontId="8"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CE8E4"/>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00"/>
  </cols>
  <sheetData>
    <row r="1" customFormat="false" ht="17.35" hidden="false" customHeight="false" outlineLevel="0" collapsed="false">
      <c r="A1" s="1" t="s">
        <v>0</v>
      </c>
    </row>
    <row r="2" customFormat="false" ht="15" hidden="false" customHeight="false" outlineLevel="0" collapsed="false">
      <c r="A2" s="2" t="s">
        <v>1</v>
      </c>
    </row>
    <row r="4" customFormat="false" ht="45" hidden="false" customHeight="true" outlineLevel="0" collapsed="false">
      <c r="A4" s="3" t="s">
        <v>2</v>
      </c>
      <c r="B4" s="4" t="s">
        <v>3</v>
      </c>
    </row>
    <row r="5" customFormat="false" ht="45" hidden="false" customHeight="true" outlineLevel="0" collapsed="false">
      <c r="A5" s="3" t="s">
        <v>4</v>
      </c>
      <c r="B5" s="4" t="s">
        <v>5</v>
      </c>
    </row>
    <row r="6" customFormat="false" ht="45" hidden="false" customHeight="true" outlineLevel="0" collapsed="false">
      <c r="A6" s="3" t="s">
        <v>6</v>
      </c>
      <c r="B6" s="4" t="s">
        <v>7</v>
      </c>
    </row>
    <row r="7" customFormat="false" ht="45" hidden="false" customHeight="true" outlineLevel="0" collapsed="false">
      <c r="A7" s="3" t="s">
        <v>8</v>
      </c>
      <c r="B7" s="4" t="s">
        <v>9</v>
      </c>
    </row>
    <row r="8" customFormat="false" ht="45" hidden="false" customHeight="true" outlineLevel="0" collapsed="false">
      <c r="A8" s="3" t="s">
        <v>10</v>
      </c>
      <c r="B8" s="4" t="s">
        <v>11</v>
      </c>
    </row>
    <row r="9" customFormat="false" ht="45" hidden="false" customHeight="true" outlineLevel="0" collapsed="false">
      <c r="A9" s="3" t="s">
        <v>12</v>
      </c>
      <c r="B9" s="4"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4"/>
    <col collapsed="false" customWidth="true" hidden="false" outlineLevel="0" max="7" min="4" style="0" width="12"/>
  </cols>
  <sheetData>
    <row r="1" customFormat="false" ht="17.35" hidden="false" customHeight="false" outlineLevel="0" collapsed="false">
      <c r="A1" s="1" t="s">
        <v>14</v>
      </c>
    </row>
    <row r="2" customFormat="false" ht="15" hidden="false" customHeight="false" outlineLevel="0" collapsed="false">
      <c r="A2" s="2" t="s">
        <v>15</v>
      </c>
    </row>
    <row r="4" customFormat="false" ht="15" hidden="false" customHeight="false" outlineLevel="0" collapsed="false">
      <c r="A4" s="5" t="s">
        <v>16</v>
      </c>
      <c r="B4" s="5" t="s">
        <v>17</v>
      </c>
      <c r="C4" s="5" t="s">
        <v>18</v>
      </c>
    </row>
    <row r="5" customFormat="false" ht="15" hidden="false" customHeight="false" outlineLevel="0" collapsed="false">
      <c r="A5" s="6" t="s">
        <v>19</v>
      </c>
      <c r="B5" s="7" t="n">
        <v>55</v>
      </c>
      <c r="C5" s="8" t="s">
        <v>20</v>
      </c>
    </row>
    <row r="6" customFormat="false" ht="15" hidden="false" customHeight="false" outlineLevel="0" collapsed="false">
      <c r="A6" s="6" t="s">
        <v>21</v>
      </c>
      <c r="B6" s="7" t="n">
        <v>18</v>
      </c>
      <c r="C6" s="8" t="s">
        <v>22</v>
      </c>
    </row>
    <row r="7" customFormat="false" ht="15" hidden="false" customHeight="false" outlineLevel="0" collapsed="false">
      <c r="A7" s="6" t="s">
        <v>23</v>
      </c>
      <c r="B7" s="7" t="n">
        <v>36</v>
      </c>
      <c r="C7" s="8" t="s">
        <v>24</v>
      </c>
    </row>
    <row r="8" customFormat="false" ht="15" hidden="false" customHeight="false" outlineLevel="0" collapsed="false">
      <c r="A8" s="6" t="s">
        <v>25</v>
      </c>
      <c r="B8" s="9" t="n">
        <f aca="false">B24+B25+B26</f>
        <v>2.141</v>
      </c>
      <c r="C8" s="8" t="s">
        <v>26</v>
      </c>
    </row>
    <row r="9" customFormat="false" ht="15" hidden="false" customHeight="false" outlineLevel="0" collapsed="false">
      <c r="A9" s="6" t="s">
        <v>27</v>
      </c>
      <c r="B9" s="10" t="n">
        <v>0.04</v>
      </c>
      <c r="C9" s="8" t="s">
        <v>28</v>
      </c>
    </row>
    <row r="10" customFormat="false" ht="15" hidden="false" customHeight="false" outlineLevel="0" collapsed="false">
      <c r="A10" s="6" t="s">
        <v>29</v>
      </c>
      <c r="B10" s="7" t="n">
        <v>0.7</v>
      </c>
      <c r="C10" s="8" t="s">
        <v>30</v>
      </c>
    </row>
    <row r="11" customFormat="false" ht="15" hidden="false" customHeight="false" outlineLevel="0" collapsed="false">
      <c r="A11" s="6" t="s">
        <v>31</v>
      </c>
      <c r="B11" s="11" t="n">
        <v>1</v>
      </c>
      <c r="C11" s="8" t="s">
        <v>32</v>
      </c>
    </row>
    <row r="12" customFormat="false" ht="15" hidden="false" customHeight="false" outlineLevel="0" collapsed="false">
      <c r="A12" s="6" t="s">
        <v>33</v>
      </c>
      <c r="B12" s="10" t="n">
        <v>0.075</v>
      </c>
      <c r="C12" s="8" t="s">
        <v>34</v>
      </c>
    </row>
    <row r="13" customFormat="false" ht="15" hidden="false" customHeight="false" outlineLevel="0" collapsed="false">
      <c r="A13" s="6" t="s">
        <v>35</v>
      </c>
      <c r="B13" s="12" t="n">
        <v>0.21</v>
      </c>
      <c r="C13" s="8" t="s">
        <v>36</v>
      </c>
    </row>
    <row r="14" customFormat="false" ht="15" hidden="false" customHeight="false" outlineLevel="0" collapsed="false">
      <c r="A14" s="6" t="s">
        <v>37</v>
      </c>
      <c r="B14" s="10" t="n">
        <v>0.6</v>
      </c>
      <c r="C14" s="8" t="s">
        <v>38</v>
      </c>
    </row>
    <row r="15" customFormat="false" ht="15" hidden="false" customHeight="false" outlineLevel="0" collapsed="false">
      <c r="A15" s="6" t="s">
        <v>39</v>
      </c>
      <c r="B15" s="13" t="n">
        <v>16</v>
      </c>
      <c r="C15" s="8" t="s">
        <v>40</v>
      </c>
    </row>
    <row r="16" customFormat="false" ht="15" hidden="false" customHeight="false" outlineLevel="0" collapsed="false">
      <c r="A16" s="6" t="s">
        <v>41</v>
      </c>
      <c r="B16" s="12" t="n">
        <v>0.15</v>
      </c>
      <c r="C16" s="8" t="s">
        <v>42</v>
      </c>
    </row>
    <row r="17" customFormat="false" ht="15" hidden="false" customHeight="false" outlineLevel="0" collapsed="false">
      <c r="A17" s="6" t="s">
        <v>43</v>
      </c>
      <c r="B17" s="9" t="n">
        <f aca="false">B8+B10*B11</f>
        <v>2.841</v>
      </c>
      <c r="C17" s="8" t="s">
        <v>44</v>
      </c>
    </row>
    <row r="18" customFormat="false" ht="15" hidden="false" customHeight="false" outlineLevel="0" collapsed="false">
      <c r="A18" s="6" t="s">
        <v>45</v>
      </c>
      <c r="B18" s="14" t="n">
        <f aca="false">B5/B17</f>
        <v>19.359380499824</v>
      </c>
      <c r="C18" s="8" t="s">
        <v>46</v>
      </c>
    </row>
    <row r="19" customFormat="false" ht="15" hidden="false" customHeight="false" outlineLevel="0" collapsed="false">
      <c r="A19" s="6" t="s">
        <v>47</v>
      </c>
      <c r="B19" s="14" t="n">
        <f aca="false">B6/B17</f>
        <v>6.33579725448786</v>
      </c>
      <c r="C19" s="8" t="s">
        <v>46</v>
      </c>
    </row>
    <row r="21" customFormat="false" ht="15" hidden="false" customHeight="false" outlineLevel="0" collapsed="false">
      <c r="A21" s="5" t="s">
        <v>48</v>
      </c>
      <c r="B21" s="5" t="s">
        <v>17</v>
      </c>
      <c r="C21" s="5" t="s">
        <v>49</v>
      </c>
    </row>
    <row r="22" customFormat="false" ht="15" hidden="false" customHeight="false" outlineLevel="0" collapsed="false">
      <c r="A22" s="6" t="s">
        <v>50</v>
      </c>
      <c r="B22" s="15" t="n">
        <v>7.531</v>
      </c>
      <c r="C22" s="8" t="s">
        <v>51</v>
      </c>
    </row>
    <row r="23" customFormat="false" ht="15" hidden="false" customHeight="false" outlineLevel="0" collapsed="false">
      <c r="A23" s="6" t="s">
        <v>52</v>
      </c>
      <c r="B23" s="15" t="n">
        <v>2.323</v>
      </c>
      <c r="C23" s="8" t="s">
        <v>51</v>
      </c>
    </row>
    <row r="24" customFormat="false" ht="15" hidden="false" customHeight="false" outlineLevel="0" collapsed="false">
      <c r="A24" s="6" t="s">
        <v>53</v>
      </c>
      <c r="B24" s="15" t="n">
        <v>1.162</v>
      </c>
      <c r="C24" s="8" t="s">
        <v>51</v>
      </c>
    </row>
    <row r="25" customFormat="false" ht="15" hidden="false" customHeight="false" outlineLevel="0" collapsed="false">
      <c r="A25" s="6" t="s">
        <v>54</v>
      </c>
      <c r="B25" s="15" t="n">
        <v>0.323</v>
      </c>
      <c r="C25" s="8" t="s">
        <v>51</v>
      </c>
    </row>
    <row r="26" customFormat="false" ht="15" hidden="false" customHeight="false" outlineLevel="0" collapsed="false">
      <c r="A26" s="6" t="s">
        <v>55</v>
      </c>
      <c r="B26" s="15" t="n">
        <v>0.656</v>
      </c>
      <c r="C26" s="8" t="s">
        <v>51</v>
      </c>
    </row>
    <row r="28" customFormat="false" ht="15" hidden="false" customHeight="false" outlineLevel="0" collapsed="false">
      <c r="A28" s="5" t="s">
        <v>56</v>
      </c>
      <c r="B28" s="5"/>
      <c r="C28" s="5" t="s">
        <v>57</v>
      </c>
      <c r="D28" s="5" t="s">
        <v>58</v>
      </c>
      <c r="E28" s="5" t="s">
        <v>59</v>
      </c>
      <c r="F28" s="5" t="s">
        <v>60</v>
      </c>
      <c r="G28" s="5" t="s">
        <v>61</v>
      </c>
    </row>
    <row r="30" customFormat="false" ht="15" hidden="false" customHeight="false" outlineLevel="0" collapsed="false">
      <c r="A30" s="6" t="s">
        <v>62</v>
      </c>
      <c r="C30" s="9" t="n">
        <f aca="false">$B$8*(1+$B$9)</f>
        <v>2.22664</v>
      </c>
      <c r="D30" s="9" t="n">
        <f aca="false">C30*(1+$B$9)</f>
        <v>2.3157056</v>
      </c>
      <c r="E30" s="9" t="n">
        <f aca="false">D30*(1+$B$9)</f>
        <v>2.408333824</v>
      </c>
      <c r="F30" s="9" t="n">
        <f aca="false">E30*(1+$B$9)</f>
        <v>2.50466717696</v>
      </c>
      <c r="G30" s="9" t="n">
        <f aca="false">F30*(1+$B$9)</f>
        <v>2.6048538640384</v>
      </c>
    </row>
    <row r="31" customFormat="false" ht="15" hidden="false" customHeight="false" outlineLevel="0" collapsed="false">
      <c r="A31" s="6" t="s">
        <v>63</v>
      </c>
      <c r="B31" s="8" t="s">
        <v>64</v>
      </c>
      <c r="C31" s="9" t="n">
        <f aca="false">$B$10*$B$11*0.5</f>
        <v>0.35</v>
      </c>
      <c r="D31" s="9" t="n">
        <f aca="false">$B$10*$B$11</f>
        <v>0.7</v>
      </c>
      <c r="E31" s="9" t="n">
        <f aca="false">$B$10*$B$11</f>
        <v>0.7</v>
      </c>
      <c r="F31" s="9" t="n">
        <f aca="false">$B$10*$B$11</f>
        <v>0.7</v>
      </c>
      <c r="G31" s="9" t="n">
        <f aca="false">$B$10*$B$11</f>
        <v>0.7</v>
      </c>
    </row>
    <row r="32" customFormat="false" ht="15" hidden="false" customHeight="false" outlineLevel="0" collapsed="false">
      <c r="A32" s="3" t="s">
        <v>65</v>
      </c>
      <c r="C32" s="16" t="n">
        <f aca="false">C30+C31</f>
        <v>2.57664</v>
      </c>
      <c r="D32" s="16" t="n">
        <f aca="false">D30+D31</f>
        <v>3.0157056</v>
      </c>
      <c r="E32" s="16" t="n">
        <f aca="false">E30+E31</f>
        <v>3.108333824</v>
      </c>
      <c r="F32" s="16" t="n">
        <f aca="false">F30+F31</f>
        <v>3.20466717696</v>
      </c>
      <c r="G32" s="16" t="n">
        <f aca="false">G30+G31</f>
        <v>3.3048538640384</v>
      </c>
    </row>
    <row r="33" customFormat="false" ht="15" hidden="false" customHeight="false" outlineLevel="0" collapsed="false">
      <c r="A33" s="6" t="s">
        <v>66</v>
      </c>
      <c r="C33" s="9" t="n">
        <f aca="false">$B$6</f>
        <v>18</v>
      </c>
      <c r="D33" s="9" t="n">
        <f aca="false">C37</f>
        <v>17.520516</v>
      </c>
      <c r="E33" s="9" t="n">
        <f aca="false">D37</f>
        <v>16.749183213</v>
      </c>
      <c r="F33" s="9" t="n">
        <f aca="false">E37</f>
        <v>15.8765720239703</v>
      </c>
      <c r="G33" s="9" t="n">
        <f aca="false">F37</f>
        <v>14.8944586102145</v>
      </c>
    </row>
    <row r="34" customFormat="false" ht="15" hidden="false" customHeight="false" outlineLevel="0" collapsed="false">
      <c r="A34" s="6" t="s">
        <v>67</v>
      </c>
      <c r="C34" s="9" t="n">
        <f aca="false">C33*$B$12</f>
        <v>1.35</v>
      </c>
      <c r="D34" s="9" t="n">
        <f aca="false">D33*$B$12</f>
        <v>1.3140387</v>
      </c>
      <c r="E34" s="9" t="n">
        <f aca="false">E33*$B$12</f>
        <v>1.256188740975</v>
      </c>
      <c r="F34" s="9" t="n">
        <f aca="false">F33*$B$12</f>
        <v>1.19074290179777</v>
      </c>
      <c r="G34" s="9" t="n">
        <f aca="false">G33*$B$12</f>
        <v>1.11708439576609</v>
      </c>
    </row>
    <row r="35" customFormat="false" ht="15" hidden="false" customHeight="false" outlineLevel="0" collapsed="false">
      <c r="A35" s="6" t="s">
        <v>68</v>
      </c>
      <c r="C35" s="9" t="n">
        <f aca="false">C32*$B$14</f>
        <v>1.545984</v>
      </c>
      <c r="D35" s="9" t="n">
        <f aca="false">D32*$B$14</f>
        <v>1.80942336</v>
      </c>
      <c r="E35" s="9" t="n">
        <f aca="false">E32*$B$14</f>
        <v>1.8650002944</v>
      </c>
      <c r="F35" s="9" t="n">
        <f aca="false">F32*$B$14</f>
        <v>1.922800306176</v>
      </c>
      <c r="G35" s="9" t="n">
        <f aca="false">G32*$B$14</f>
        <v>1.98291231842304</v>
      </c>
    </row>
    <row r="36" customFormat="false" ht="15" hidden="false" customHeight="false" outlineLevel="0" collapsed="false">
      <c r="A36" s="6" t="s">
        <v>69</v>
      </c>
      <c r="B36" s="8" t="s">
        <v>70</v>
      </c>
      <c r="C36" s="9" t="n">
        <f aca="false">MAX(0,MIN(C33,C35-C34*(1-$B$13)))</f>
        <v>0.479484</v>
      </c>
      <c r="D36" s="9" t="n">
        <f aca="false">MAX(0,MIN(D33,D35-D34*(1-$B$13)))</f>
        <v>0.771332787</v>
      </c>
      <c r="E36" s="9" t="n">
        <f aca="false">MAX(0,MIN(E33,E35-E34*(1-$B$13)))</f>
        <v>0.87261118902975</v>
      </c>
      <c r="F36" s="9" t="n">
        <f aca="false">MAX(0,MIN(F33,F35-F34*(1-$B$13)))</f>
        <v>0.982113413755763</v>
      </c>
      <c r="G36" s="9" t="n">
        <f aca="false">MAX(0,MIN(G33,G35-G34*(1-$B$13)))</f>
        <v>1.10041564576783</v>
      </c>
    </row>
    <row r="37" customFormat="false" ht="15" hidden="false" customHeight="false" outlineLevel="0" collapsed="false">
      <c r="A37" s="3" t="s">
        <v>71</v>
      </c>
      <c r="C37" s="16" t="n">
        <f aca="false">C33-C36</f>
        <v>17.520516</v>
      </c>
      <c r="D37" s="16" t="n">
        <f aca="false">D33-D36</f>
        <v>16.749183213</v>
      </c>
      <c r="E37" s="16" t="n">
        <f aca="false">E33-E36</f>
        <v>15.8765720239703</v>
      </c>
      <c r="F37" s="16" t="n">
        <f aca="false">F33-F36</f>
        <v>14.8944586102145</v>
      </c>
      <c r="G37" s="16" t="n">
        <f aca="false">G33-G36</f>
        <v>13.7940429644467</v>
      </c>
    </row>
    <row r="39" customFormat="false" ht="15" hidden="false" customHeight="false" outlineLevel="0" collapsed="false">
      <c r="A39" s="5" t="s">
        <v>72</v>
      </c>
      <c r="B39" s="5" t="s">
        <v>17</v>
      </c>
      <c r="C39" s="5" t="s">
        <v>73</v>
      </c>
    </row>
    <row r="40" customFormat="false" ht="15" hidden="false" customHeight="false" outlineLevel="0" collapsed="false">
      <c r="A40" s="6" t="s">
        <v>74</v>
      </c>
      <c r="B40" s="9" t="n">
        <f aca="false">G32</f>
        <v>3.3048538640384</v>
      </c>
      <c r="C40" s="8" t="s">
        <v>75</v>
      </c>
    </row>
    <row r="41" customFormat="false" ht="15" hidden="false" customHeight="false" outlineLevel="0" collapsed="false">
      <c r="A41" s="6" t="s">
        <v>76</v>
      </c>
      <c r="B41" s="17" t="n">
        <f aca="false">B40*B15</f>
        <v>52.8776618246144</v>
      </c>
      <c r="C41" s="8" t="s">
        <v>77</v>
      </c>
    </row>
    <row r="42" customFormat="false" ht="15" hidden="false" customHeight="false" outlineLevel="0" collapsed="false">
      <c r="A42" s="6" t="s">
        <v>78</v>
      </c>
      <c r="B42" s="17" t="n">
        <f aca="false">G37</f>
        <v>13.7940429644467</v>
      </c>
      <c r="C42" s="8" t="s">
        <v>79</v>
      </c>
    </row>
    <row r="43" customFormat="false" ht="15" hidden="false" customHeight="false" outlineLevel="0" collapsed="false">
      <c r="A43" s="6" t="s">
        <v>80</v>
      </c>
      <c r="B43" s="17" t="n">
        <f aca="false">B41-B42</f>
        <v>39.0836188601677</v>
      </c>
      <c r="C43" s="8" t="s">
        <v>81</v>
      </c>
    </row>
    <row r="44" customFormat="false" ht="15" hidden="false" customHeight="false" outlineLevel="0" collapsed="false">
      <c r="A44" s="3" t="s">
        <v>82</v>
      </c>
      <c r="B44" s="18" t="n">
        <f aca="false">IF(B7&gt;0,B43/B7,0)</f>
        <v>1.0856560794491</v>
      </c>
      <c r="C44" s="8" t="s">
        <v>83</v>
      </c>
    </row>
    <row r="45" customFormat="false" ht="15" hidden="false" customHeight="false" outlineLevel="0" collapsed="false">
      <c r="A45" s="3" t="s">
        <v>84</v>
      </c>
      <c r="B45" s="19" t="n">
        <f aca="false">IF(B44&gt;0,B44^(1/5)-1,-1)</f>
        <v>0.0165727261290607</v>
      </c>
      <c r="C45" s="8" t="s">
        <v>85</v>
      </c>
    </row>
    <row r="46" customFormat="false" ht="15" hidden="false" customHeight="false" outlineLevel="0" collapsed="false">
      <c r="A46" s="3" t="s">
        <v>86</v>
      </c>
      <c r="B46" s="18" t="n">
        <f aca="false">IF(B40&gt;0,(B7*(1+B16)^5+B42)/B40,0)</f>
        <v>26.0837257140048</v>
      </c>
      <c r="C46" s="8" t="s">
        <v>87</v>
      </c>
    </row>
    <row r="47" customFormat="false" ht="15" hidden="false" customHeight="false" outlineLevel="0" collapsed="false">
      <c r="A47" s="6" t="s">
        <v>88</v>
      </c>
      <c r="B47" s="14" t="n">
        <f aca="false">B46-B18</f>
        <v>6.72434521418082</v>
      </c>
      <c r="C47" s="8" t="s">
        <v>89</v>
      </c>
    </row>
    <row r="49" customFormat="false" ht="15" hidden="false" customHeight="false" outlineLevel="0" collapsed="false">
      <c r="A49" s="5" t="s">
        <v>90</v>
      </c>
      <c r="B49" s="5" t="s">
        <v>91</v>
      </c>
      <c r="C49" s="5" t="s">
        <v>92</v>
      </c>
    </row>
    <row r="50" customFormat="false" ht="15" hidden="false" customHeight="false" outlineLevel="0" collapsed="false">
      <c r="A50" s="20" t="n">
        <v>12</v>
      </c>
      <c r="B50" s="21" t="n">
        <f aca="false">IF((A50*$B$40-$B$42)&gt;0,((A50*$B$40-$B$42)/$B$7)^(1/5)-1,-1)</f>
        <v>-0.0639925159336969</v>
      </c>
      <c r="C50" s="22" t="n">
        <f aca="false">(A50*$B$40-$B$42)/$B$7</f>
        <v>0.718450094555949</v>
      </c>
    </row>
    <row r="51" customFormat="false" ht="15" hidden="false" customHeight="false" outlineLevel="0" collapsed="false">
      <c r="A51" s="20" t="n">
        <v>14</v>
      </c>
      <c r="B51" s="21" t="n">
        <f aca="false">IF((A51*$B$40-$B$42)&gt;0,((A51*$B$40-$B$42)/$B$7)^(1/5)-1,-1)</f>
        <v>-0.020405316541377</v>
      </c>
      <c r="C51" s="22" t="n">
        <f aca="false">(A51*$B$40-$B$42)/$B$7</f>
        <v>0.902053087002526</v>
      </c>
    </row>
    <row r="52" customFormat="false" ht="15" hidden="false" customHeight="false" outlineLevel="0" collapsed="false">
      <c r="A52" s="20" t="n">
        <v>16</v>
      </c>
      <c r="B52" s="21" t="n">
        <f aca="false">IF((A52*$B$40-$B$42)&gt;0,((A52*$B$40-$B$42)/$B$7)^(1/5)-1,-1)</f>
        <v>0.0165727261290607</v>
      </c>
      <c r="C52" s="22" t="n">
        <f aca="false">(A52*$B$40-$B$42)/$B$7</f>
        <v>1.0856560794491</v>
      </c>
    </row>
    <row r="53" customFormat="false" ht="15" hidden="false" customHeight="false" outlineLevel="0" collapsed="false">
      <c r="A53" s="20" t="n">
        <v>18</v>
      </c>
      <c r="B53" s="21" t="n">
        <f aca="false">IF((A53*$B$40-$B$42)&gt;0,((A53*$B$40-$B$42)/$B$7)^(1/5)-1,-1)</f>
        <v>0.048841964361406</v>
      </c>
      <c r="C53" s="22" t="n">
        <f aca="false">(A53*$B$40-$B$42)/$B$7</f>
        <v>1.26925907189568</v>
      </c>
    </row>
    <row r="54" customFormat="false" ht="15" hidden="false" customHeight="false" outlineLevel="0" collapsed="false">
      <c r="A54" s="20" t="n">
        <v>20</v>
      </c>
      <c r="B54" s="21" t="n">
        <f aca="false">IF((A54*$B$40-$B$42)&gt;0,((A54*$B$40-$B$42)/$B$7)^(1/5)-1,-1)</f>
        <v>0.07756847373915</v>
      </c>
      <c r="C54" s="22" t="n">
        <f aca="false">(A54*$B$40-$B$42)/$B$7</f>
        <v>1.45286206434226</v>
      </c>
    </row>
    <row r="55" customFormat="false" ht="15" hidden="false" customHeight="false" outlineLevel="0" collapsed="false">
      <c r="A55" s="20" t="n">
        <v>22</v>
      </c>
      <c r="B55" s="21" t="n">
        <f aca="false">IF((A55*$B$40-$B$42)&gt;0,((A55*$B$40-$B$42)/$B$7)^(1/5)-1,-1)</f>
        <v>0.103522893173173</v>
      </c>
      <c r="C55" s="22" t="n">
        <f aca="false">(A55*$B$40-$B$42)/$B$7</f>
        <v>1.63646505678884</v>
      </c>
    </row>
    <row r="56" customFormat="false" ht="15" hidden="false" customHeight="false" outlineLevel="0" collapsed="false">
      <c r="A56" s="20" t="n">
        <v>24</v>
      </c>
      <c r="B56" s="21" t="n">
        <f aca="false">IF((A56*$B$40-$B$42)&gt;0,((A56*$B$40-$B$42)/$B$7)^(1/5)-1,-1)</f>
        <v>0.12724294309536</v>
      </c>
      <c r="C56" s="22" t="n">
        <f aca="false">(A56*$B$40-$B$42)/$B$7</f>
        <v>1.82006804923542</v>
      </c>
    </row>
    <row r="58" customFormat="false" ht="15" hidden="false" customHeight="false" outlineLevel="0" collapsed="false">
      <c r="A58" s="8" t="s">
        <v>93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6"/>
    <col collapsed="false" customWidth="true" hidden="false" outlineLevel="0" max="3" min="3" style="0" width="14"/>
    <col collapsed="false" customWidth="true" hidden="false" outlineLevel="0" max="4" min="4" style="0" width="22"/>
    <col collapsed="false" customWidth="true" hidden="false" outlineLevel="0" max="5" min="5" style="0" width="18"/>
    <col collapsed="false" customWidth="true" hidden="false" outlineLevel="0" max="6" min="6" style="0" width="40"/>
  </cols>
  <sheetData>
    <row r="1" customFormat="false" ht="17.35" hidden="false" customHeight="false" outlineLevel="0" collapsed="false">
      <c r="A1" s="1" t="s">
        <v>94</v>
      </c>
    </row>
    <row r="2" customFormat="false" ht="15" hidden="false" customHeight="false" outlineLevel="0" collapsed="false">
      <c r="A2" s="2" t="s">
        <v>95</v>
      </c>
    </row>
    <row r="4" customFormat="false" ht="15" hidden="false" customHeight="false" outlineLevel="0" collapsed="false">
      <c r="A4" s="5" t="s">
        <v>96</v>
      </c>
      <c r="B4" s="5" t="s">
        <v>97</v>
      </c>
      <c r="C4" s="5" t="s">
        <v>98</v>
      </c>
      <c r="D4" s="5" t="s">
        <v>99</v>
      </c>
      <c r="E4" s="5" t="s">
        <v>100</v>
      </c>
    </row>
    <row r="5" customFormat="false" ht="15" hidden="false" customHeight="false" outlineLevel="0" collapsed="false">
      <c r="A5" s="6" t="s">
        <v>101</v>
      </c>
      <c r="B5" s="23" t="n">
        <v>154.146835</v>
      </c>
      <c r="C5" s="15" t="n">
        <v>26.337528</v>
      </c>
      <c r="D5" s="24" t="n">
        <f aca="false">C5*1000/B5</f>
        <v>170.859998520242</v>
      </c>
      <c r="E5" s="21" t="n">
        <f aca="false">C5/$C$10</f>
        <v>0.694761238085764</v>
      </c>
    </row>
    <row r="6" customFormat="false" ht="15" hidden="false" customHeight="false" outlineLevel="0" collapsed="false">
      <c r="A6" s="6" t="s">
        <v>102</v>
      </c>
      <c r="B6" s="23" t="n">
        <v>72.840541</v>
      </c>
      <c r="C6" s="15" t="n">
        <v>5.256173</v>
      </c>
      <c r="D6" s="24" t="n">
        <f aca="false">C6*1000/B6</f>
        <v>72.1599939791771</v>
      </c>
      <c r="E6" s="21" t="n">
        <f aca="false">C6/$C$10</f>
        <v>0.138653303418338</v>
      </c>
    </row>
    <row r="7" customFormat="false" ht="15" hidden="false" customHeight="false" outlineLevel="0" collapsed="false">
      <c r="A7" s="6" t="s">
        <v>103</v>
      </c>
      <c r="B7" s="23" t="n">
        <v>24.807932</v>
      </c>
      <c r="C7" s="15" t="n">
        <v>5.086618</v>
      </c>
      <c r="D7" s="24" t="n">
        <f aca="false">C7*1000/B7</f>
        <v>205.039984791961</v>
      </c>
      <c r="E7" s="21" t="n">
        <f aca="false">C7/$C$10</f>
        <v>0.134180588981219</v>
      </c>
    </row>
    <row r="8" customFormat="false" ht="15" hidden="false" customHeight="false" outlineLevel="0" collapsed="false">
      <c r="A8" s="6" t="s">
        <v>104</v>
      </c>
      <c r="B8" s="23" t="n">
        <v>177.088867</v>
      </c>
      <c r="C8" s="15" t="n">
        <v>1.184725</v>
      </c>
      <c r="D8" s="24" t="n">
        <f aca="false">C8*1000/B8</f>
        <v>6.69000270920475</v>
      </c>
      <c r="E8" s="21" t="n">
        <f aca="false">C8/$C$10</f>
        <v>0.0312520221256588</v>
      </c>
    </row>
    <row r="9" customFormat="false" ht="15" hidden="false" customHeight="false" outlineLevel="0" collapsed="false">
      <c r="A9" s="6" t="s">
        <v>105</v>
      </c>
      <c r="B9" s="23" t="n">
        <v>1.28125</v>
      </c>
      <c r="C9" s="15" t="n">
        <v>0.043703</v>
      </c>
      <c r="D9" s="24" t="n">
        <f aca="false">C9*1000/B9</f>
        <v>34.1096585365854</v>
      </c>
      <c r="E9" s="21" t="n">
        <f aca="false">C9/$C$10</f>
        <v>0.0011528473890208</v>
      </c>
    </row>
    <row r="10" customFormat="false" ht="15" hidden="false" customHeight="false" outlineLevel="0" collapsed="false">
      <c r="A10" s="3" t="s">
        <v>106</v>
      </c>
      <c r="C10" s="16" t="n">
        <f aca="false">SUM(C5:C9)</f>
        <v>37.908747</v>
      </c>
      <c r="E10" s="21" t="n">
        <f aca="false">SUM(E5:E9)</f>
        <v>1</v>
      </c>
      <c r="F10" s="8" t="s">
        <v>107</v>
      </c>
    </row>
    <row r="11" customFormat="false" ht="15" hidden="false" customHeight="false" outlineLevel="0" collapsed="false">
      <c r="A11" s="6" t="s">
        <v>108</v>
      </c>
      <c r="B11" s="25" t="n">
        <f aca="false">MAX(E5:E9)</f>
        <v>0.694761238085764</v>
      </c>
      <c r="C11" s="8" t="s">
        <v>109</v>
      </c>
    </row>
    <row r="12" customFormat="false" ht="15" hidden="false" customHeight="false" outlineLevel="0" collapsed="false">
      <c r="A12" s="6" t="s">
        <v>110</v>
      </c>
      <c r="B12" s="15" t="n">
        <v>2.853442</v>
      </c>
      <c r="C12" s="8" t="s">
        <v>111</v>
      </c>
    </row>
    <row r="14" customFormat="false" ht="15" hidden="false" customHeight="false" outlineLevel="0" collapsed="false">
      <c r="A14" s="5" t="s">
        <v>112</v>
      </c>
      <c r="B14" s="5" t="s">
        <v>17</v>
      </c>
      <c r="C14" s="5" t="s">
        <v>18</v>
      </c>
    </row>
    <row r="15" customFormat="false" ht="15" hidden="false" customHeight="false" outlineLevel="0" collapsed="false">
      <c r="A15" s="6" t="s">
        <v>113</v>
      </c>
      <c r="B15" s="15" t="n">
        <v>3.5</v>
      </c>
      <c r="C15" s="8" t="s">
        <v>114</v>
      </c>
    </row>
    <row r="16" customFormat="false" ht="15" hidden="false" customHeight="false" outlineLevel="0" collapsed="false">
      <c r="A16" s="6" t="s">
        <v>115</v>
      </c>
      <c r="B16" s="26" t="n">
        <f aca="false">C6</f>
        <v>5.256173</v>
      </c>
    </row>
    <row r="17" customFormat="false" ht="15" hidden="false" customHeight="false" outlineLevel="0" collapsed="false">
      <c r="A17" s="6" t="s">
        <v>116</v>
      </c>
      <c r="B17" s="27" t="n">
        <v>10</v>
      </c>
    </row>
    <row r="18" customFormat="false" ht="15" hidden="false" customHeight="false" outlineLevel="0" collapsed="false">
      <c r="A18" s="6" t="s">
        <v>117</v>
      </c>
      <c r="B18" s="14" t="n">
        <f aca="false">B16/B15</f>
        <v>1.50176371428571</v>
      </c>
    </row>
    <row r="19" customFormat="false" ht="15" hidden="false" customHeight="false" outlineLevel="0" collapsed="false">
      <c r="A19" s="6" t="s">
        <v>118</v>
      </c>
      <c r="B19" s="25" t="n">
        <f aca="false">(B16/B15)^(1/B17)-1</f>
        <v>0.0415021256745536</v>
      </c>
      <c r="C19" s="8" t="s">
        <v>119</v>
      </c>
    </row>
    <row r="21" customFormat="false" ht="15" hidden="false" customHeight="false" outlineLevel="0" collapsed="false">
      <c r="A21" s="6" t="s">
        <v>120</v>
      </c>
      <c r="B21" s="15" t="n">
        <v>5.348084</v>
      </c>
      <c r="C21" s="8" t="s">
        <v>121</v>
      </c>
    </row>
    <row r="22" customFormat="false" ht="15" hidden="false" customHeight="false" outlineLevel="0" collapsed="false">
      <c r="A22" s="6" t="s">
        <v>122</v>
      </c>
      <c r="B22" s="26" t="n">
        <f aca="false">C8</f>
        <v>1.184725</v>
      </c>
    </row>
    <row r="23" customFormat="false" ht="15" hidden="false" customHeight="false" outlineLevel="0" collapsed="false">
      <c r="A23" s="6" t="s">
        <v>123</v>
      </c>
      <c r="B23" s="25" t="n">
        <f aca="false">B22/B21-1</f>
        <v>-0.778476740455086</v>
      </c>
      <c r="C23" s="8" t="s">
        <v>124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3" min="2" style="0" width="14"/>
    <col collapsed="false" customWidth="true" hidden="false" outlineLevel="0" max="4" min="4" style="0" width="60"/>
  </cols>
  <sheetData>
    <row r="1" customFormat="false" ht="17.35" hidden="false" customHeight="false" outlineLevel="0" collapsed="false">
      <c r="A1" s="1" t="s">
        <v>125</v>
      </c>
    </row>
    <row r="2" customFormat="false" ht="15" hidden="false" customHeight="false" outlineLevel="0" collapsed="false">
      <c r="A2" s="2" t="s">
        <v>126</v>
      </c>
    </row>
    <row r="4" customFormat="false" ht="15" hidden="false" customHeight="false" outlineLevel="0" collapsed="false">
      <c r="A4" s="6" t="s">
        <v>127</v>
      </c>
      <c r="B4" s="28" t="n">
        <v>3.75</v>
      </c>
    </row>
    <row r="6" customFormat="false" ht="15" hidden="false" customHeight="false" outlineLevel="0" collapsed="false">
      <c r="A6" s="5" t="s">
        <v>128</v>
      </c>
      <c r="B6" s="5" t="s">
        <v>129</v>
      </c>
      <c r="C6" s="5" t="s">
        <v>130</v>
      </c>
      <c r="D6" s="5" t="s">
        <v>49</v>
      </c>
    </row>
    <row r="7" customFormat="false" ht="15" hidden="false" customHeight="false" outlineLevel="0" collapsed="false">
      <c r="A7" s="6" t="s">
        <v>131</v>
      </c>
      <c r="B7" s="29" t="n">
        <v>329.848</v>
      </c>
      <c r="C7" s="30" t="n">
        <f aca="false">B7/$B$4</f>
        <v>87.9594666666667</v>
      </c>
      <c r="D7" s="8" t="s">
        <v>132</v>
      </c>
    </row>
    <row r="8" customFormat="false" ht="15" hidden="false" customHeight="false" outlineLevel="0" collapsed="false">
      <c r="A8" s="6" t="s">
        <v>133</v>
      </c>
      <c r="B8" s="29" t="n">
        <v>269.908</v>
      </c>
      <c r="C8" s="30" t="n">
        <f aca="false">B8/$B$4</f>
        <v>71.9754666666667</v>
      </c>
      <c r="D8" s="8" t="s">
        <v>132</v>
      </c>
    </row>
    <row r="9" customFormat="false" ht="15" hidden="false" customHeight="false" outlineLevel="0" collapsed="false">
      <c r="A9" s="3" t="s">
        <v>134</v>
      </c>
      <c r="B9" s="31" t="n">
        <f aca="false">B7+B8</f>
        <v>599.756</v>
      </c>
      <c r="C9" s="30" t="n">
        <f aca="false">B9/$B$4</f>
        <v>159.934933333333</v>
      </c>
      <c r="D9" s="8" t="s">
        <v>132</v>
      </c>
    </row>
    <row r="10" customFormat="false" ht="15" hidden="false" customHeight="false" outlineLevel="0" collapsed="false">
      <c r="A10" s="6" t="s">
        <v>135</v>
      </c>
      <c r="B10" s="29" t="n">
        <v>759.757</v>
      </c>
      <c r="C10" s="30" t="n">
        <f aca="false">B10/$B$4</f>
        <v>202.601866666667</v>
      </c>
      <c r="D10" s="8" t="s">
        <v>132</v>
      </c>
    </row>
    <row r="11" customFormat="false" ht="15" hidden="false" customHeight="false" outlineLevel="0" collapsed="false">
      <c r="A11" s="3" t="s">
        <v>136</v>
      </c>
      <c r="B11" s="31" t="n">
        <f aca="false">B9-B10</f>
        <v>-160.001</v>
      </c>
      <c r="C11" s="30" t="n">
        <f aca="false">B11/$B$4</f>
        <v>-42.6669333333333</v>
      </c>
      <c r="D11" s="8" t="s">
        <v>132</v>
      </c>
    </row>
    <row r="12" customFormat="false" ht="15" hidden="false" customHeight="false" outlineLevel="0" collapsed="false">
      <c r="A12" s="6" t="s">
        <v>137</v>
      </c>
      <c r="B12" s="25" t="n">
        <f aca="false">B7/B9</f>
        <v>0.549970321263981</v>
      </c>
    </row>
    <row r="13" customFormat="false" ht="15" hidden="false" customHeight="false" outlineLevel="0" collapsed="false">
      <c r="A13" s="6" t="s">
        <v>138</v>
      </c>
      <c r="B13" s="29" t="n">
        <v>658.446</v>
      </c>
      <c r="C13" s="8" t="s">
        <v>139</v>
      </c>
    </row>
    <row r="14" customFormat="false" ht="15" hidden="false" customHeight="false" outlineLevel="0" collapsed="false">
      <c r="A14" s="6" t="s">
        <v>140</v>
      </c>
      <c r="B14" s="25" t="n">
        <f aca="false">B10/B13-1</f>
        <v>0.153863794449355</v>
      </c>
    </row>
    <row r="16" customFormat="false" ht="15" hidden="false" customHeight="false" outlineLevel="0" collapsed="false">
      <c r="A16" s="5" t="s">
        <v>141</v>
      </c>
      <c r="B16" s="5" t="s">
        <v>129</v>
      </c>
      <c r="C16" s="5" t="s">
        <v>130</v>
      </c>
      <c r="D16" s="5" t="s">
        <v>49</v>
      </c>
    </row>
    <row r="17" customFormat="false" ht="15" hidden="false" customHeight="false" outlineLevel="0" collapsed="false">
      <c r="A17" s="6" t="s">
        <v>142</v>
      </c>
      <c r="B17" s="29" t="n">
        <v>1147</v>
      </c>
      <c r="C17" s="30" t="n">
        <f aca="false">B17/$B$4</f>
        <v>305.866666666667</v>
      </c>
      <c r="D17" s="8" t="s">
        <v>143</v>
      </c>
    </row>
    <row r="18" customFormat="false" ht="15" hidden="false" customHeight="false" outlineLevel="0" collapsed="false">
      <c r="A18" s="6" t="s">
        <v>144</v>
      </c>
      <c r="B18" s="29" t="n">
        <v>1313</v>
      </c>
      <c r="C18" s="30" t="n">
        <f aca="false">B18/$B$4</f>
        <v>350.133333333333</v>
      </c>
      <c r="D18" s="8" t="s">
        <v>143</v>
      </c>
    </row>
    <row r="19" customFormat="false" ht="15" hidden="false" customHeight="false" outlineLevel="0" collapsed="false">
      <c r="A19" s="6" t="s">
        <v>145</v>
      </c>
      <c r="B19" s="31" t="n">
        <f aca="false">B18-B17</f>
        <v>166</v>
      </c>
      <c r="C19" s="30" t="n">
        <f aca="false">B19/$B$4</f>
        <v>44.2666666666667</v>
      </c>
      <c r="D19" s="8" t="s">
        <v>143</v>
      </c>
    </row>
    <row r="20" customFormat="false" ht="15" hidden="false" customHeight="false" outlineLevel="0" collapsed="false">
      <c r="A20" s="6" t="s">
        <v>146</v>
      </c>
      <c r="B20" s="25" t="n">
        <f aca="false">-B11/B19</f>
        <v>0.963861445783132</v>
      </c>
      <c r="C20" s="8" t="s">
        <v>147</v>
      </c>
    </row>
    <row r="22" customFormat="false" ht="15" hidden="false" customHeight="false" outlineLevel="0" collapsed="false">
      <c r="A22" s="5" t="s">
        <v>148</v>
      </c>
      <c r="B22" s="5" t="s">
        <v>149</v>
      </c>
      <c r="C22" s="5" t="s">
        <v>150</v>
      </c>
      <c r="D22" s="5" t="s">
        <v>49</v>
      </c>
    </row>
    <row r="23" customFormat="false" ht="15" hidden="false" customHeight="false" outlineLevel="0" collapsed="false">
      <c r="A23" s="6" t="s">
        <v>151</v>
      </c>
      <c r="B23" s="32" t="n">
        <v>69</v>
      </c>
      <c r="C23" s="6" t="s">
        <v>152</v>
      </c>
      <c r="D23" s="8" t="s">
        <v>153</v>
      </c>
    </row>
    <row r="24" customFormat="false" ht="15" hidden="false" customHeight="false" outlineLevel="0" collapsed="false">
      <c r="A24" s="6" t="s">
        <v>154</v>
      </c>
      <c r="B24" s="32" t="n">
        <v>81.11</v>
      </c>
      <c r="C24" s="6" t="s">
        <v>152</v>
      </c>
      <c r="D24" s="8" t="s">
        <v>153</v>
      </c>
    </row>
    <row r="25" customFormat="false" ht="15" hidden="false" customHeight="false" outlineLevel="0" collapsed="false">
      <c r="A25" s="6" t="s">
        <v>155</v>
      </c>
      <c r="B25" s="32" t="n">
        <v>102.93</v>
      </c>
      <c r="C25" s="6" t="s">
        <v>152</v>
      </c>
      <c r="D25" s="8" t="s">
        <v>153</v>
      </c>
    </row>
    <row r="26" customFormat="false" ht="15" hidden="false" customHeight="false" outlineLevel="0" collapsed="false">
      <c r="A26" s="6" t="s">
        <v>156</v>
      </c>
      <c r="B26" s="32" t="n">
        <v>84</v>
      </c>
      <c r="C26" s="6" t="s">
        <v>152</v>
      </c>
      <c r="D26" s="8" t="s">
        <v>153</v>
      </c>
    </row>
    <row r="27" customFormat="false" ht="15" hidden="false" customHeight="false" outlineLevel="0" collapsed="false">
      <c r="A27" s="6" t="s">
        <v>157</v>
      </c>
      <c r="B27" s="32" t="n">
        <v>91</v>
      </c>
      <c r="C27" s="6" t="s">
        <v>152</v>
      </c>
      <c r="D27" s="8" t="s">
        <v>153</v>
      </c>
    </row>
    <row r="28" customFormat="false" ht="15" hidden="false" customHeight="false" outlineLevel="0" collapsed="false">
      <c r="A28" s="6" t="s">
        <v>158</v>
      </c>
      <c r="B28" s="32" t="n">
        <v>90.66</v>
      </c>
      <c r="C28" s="6" t="s">
        <v>159</v>
      </c>
      <c r="D28" s="8" t="s">
        <v>153</v>
      </c>
    </row>
    <row r="29" customFormat="false" ht="15" hidden="false" customHeight="false" outlineLevel="0" collapsed="false">
      <c r="A29" s="6" t="s">
        <v>160</v>
      </c>
      <c r="B29" s="32" t="n">
        <v>74</v>
      </c>
      <c r="C29" s="6" t="s">
        <v>159</v>
      </c>
      <c r="D29" s="8" t="s">
        <v>153</v>
      </c>
    </row>
    <row r="31" customFormat="false" ht="15" hidden="false" customHeight="false" outlineLevel="0" collapsed="false">
      <c r="A31" s="6" t="s">
        <v>161</v>
      </c>
      <c r="B31" s="32" t="n">
        <v>90.94</v>
      </c>
      <c r="C31" s="8" t="s">
        <v>162</v>
      </c>
    </row>
    <row r="32" customFormat="false" ht="15" hidden="false" customHeight="false" outlineLevel="0" collapsed="false">
      <c r="A32" s="6" t="s">
        <v>163</v>
      </c>
      <c r="B32" s="33" t="n">
        <v>111</v>
      </c>
      <c r="C32" s="8" t="s">
        <v>164</v>
      </c>
    </row>
    <row r="33" customFormat="false" ht="15" hidden="false" customHeight="false" outlineLevel="0" collapsed="false">
      <c r="A33" s="6" t="s">
        <v>165</v>
      </c>
      <c r="B33" s="34" t="n">
        <f aca="false">B25-B31</f>
        <v>11.99</v>
      </c>
      <c r="C33" s="8" t="s">
        <v>166</v>
      </c>
    </row>
    <row r="34" customFormat="false" ht="15" hidden="false" customHeight="false" outlineLevel="0" collapsed="false">
      <c r="A34" s="6" t="s">
        <v>167</v>
      </c>
      <c r="B34" s="34" t="n">
        <f aca="false">B29-B31</f>
        <v>-16.94</v>
      </c>
      <c r="C34" s="8" t="s">
        <v>168</v>
      </c>
    </row>
    <row r="36" customFormat="false" ht="15" hidden="false" customHeight="false" outlineLevel="0" collapsed="false">
      <c r="A36" s="8" t="s">
        <v>169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2026-09-27T08:22:41Z</dcterms:created>
  <dc:creator>openpyxl</dc:creator>
  <dc:description/>
  <dc:language>en-US</dc:language>
  <cp:lastModifiedBy/>
  <dcterms:modified xsi:type="dcterms:W3CDTF">2026-09-27T08:22:41Z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